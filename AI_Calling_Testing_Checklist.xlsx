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70" yWindow="555" windowWidth="14055" windowHeight="11190" activeTab="1"/>
  </bookViews>
  <sheets>
    <sheet name="Dashboard" sheetId="1" r:id="rId1"/>
    <sheet name="Testing Checklist" sheetId="2" r:id="rId2"/>
    <sheet name="Settings" sheetId="3" r:id="rId3"/>
  </sheets>
  <calcPr calcId="145621"/>
</workbook>
</file>

<file path=xl/calcChain.xml><?xml version="1.0" encoding="utf-8"?>
<calcChain xmlns="http://schemas.openxmlformats.org/spreadsheetml/2006/main">
  <c r="C29" i="1" l="1"/>
  <c r="B29" i="1"/>
  <c r="C28" i="1"/>
  <c r="B28" i="1"/>
  <c r="C27" i="1"/>
  <c r="B27" i="1"/>
  <c r="C26" i="1"/>
  <c r="B26" i="1"/>
  <c r="C25" i="1"/>
  <c r="B25" i="1"/>
  <c r="C24" i="1"/>
  <c r="B24" i="1"/>
  <c r="C23" i="1"/>
  <c r="B23" i="1"/>
  <c r="C22" i="1"/>
  <c r="B22" i="1"/>
  <c r="C21" i="1"/>
  <c r="B21" i="1"/>
  <c r="C20" i="1"/>
  <c r="B20" i="1"/>
  <c r="C19" i="1"/>
  <c r="B19" i="1"/>
  <c r="C18" i="1"/>
  <c r="B18" i="1"/>
  <c r="C17" i="1"/>
  <c r="B17" i="1"/>
  <c r="C16" i="1"/>
  <c r="B16" i="1"/>
  <c r="B10" i="1"/>
  <c r="B9" i="1"/>
  <c r="B8" i="1"/>
  <c r="B7" i="1"/>
  <c r="B6" i="1"/>
  <c r="B5" i="1"/>
  <c r="B4" i="1"/>
</calcChain>
</file>

<file path=xl/sharedStrings.xml><?xml version="1.0" encoding="utf-8"?>
<sst xmlns="http://schemas.openxmlformats.org/spreadsheetml/2006/main" count="339" uniqueCount="205">
  <si>
    <t>AI Calling System Testing Dashboard</t>
  </si>
  <si>
    <t>Metric</t>
  </si>
  <si>
    <t>Count</t>
  </si>
  <si>
    <t>Quick Test URLs</t>
  </si>
  <si>
    <t>Total Tests</t>
  </si>
  <si>
    <t>Health</t>
  </si>
  <si>
    <t>https://inbound-test.ladderaiagent.com/api/health</t>
  </si>
  <si>
    <t>Passed</t>
  </si>
  <si>
    <t>Inbound Stats</t>
  </si>
  <si>
    <t>https://inbound-test.ladderaiagent.com/api/inbound/stats</t>
  </si>
  <si>
    <t>Failed</t>
  </si>
  <si>
    <t>Inbound Calls</t>
  </si>
  <si>
    <t>https://inbound-test.ladderaiagent.com/api/inbound/calls</t>
  </si>
  <si>
    <t>Blocked</t>
  </si>
  <si>
    <t>Dashboard</t>
  </si>
  <si>
    <t>https://inbound-test.ladderaiagent.com</t>
  </si>
  <si>
    <t>In Progress</t>
  </si>
  <si>
    <t>Inbound Number</t>
  </si>
  <si>
    <t>+918065480098</t>
  </si>
  <si>
    <t>Not Started</t>
  </si>
  <si>
    <t>Pass %</t>
  </si>
  <si>
    <t>Go-Live Rule: Do not merge to main/live until all High priority tests are Passed and no crash appears in Coolify logs.</t>
  </si>
  <si>
    <t>Category</t>
  </si>
  <si>
    <t>Total</t>
  </si>
  <si>
    <t>AI Prompt</t>
  </si>
  <si>
    <t>Appointments</t>
  </si>
  <si>
    <t>Basic App Health</t>
  </si>
  <si>
    <t>CRM</t>
  </si>
  <si>
    <t>Call Logs</t>
  </si>
  <si>
    <t>Campaigns</t>
  </si>
  <si>
    <t>Go Live</t>
  </si>
  <si>
    <t>Inbound</t>
  </si>
  <si>
    <t>Logs</t>
  </si>
  <si>
    <t>Outbound</t>
  </si>
  <si>
    <t>Recordings</t>
  </si>
  <si>
    <t>Regression</t>
  </si>
  <si>
    <t>Stability</t>
  </si>
  <si>
    <t>Stats</t>
  </si>
  <si>
    <t>ID</t>
  </si>
  <si>
    <t>Test Case</t>
  </si>
  <si>
    <t>Steps</t>
  </si>
  <si>
    <t>Expected Result</t>
  </si>
  <si>
    <t>Priority</t>
  </si>
  <si>
    <t>Status</t>
  </si>
  <si>
    <t>Tester</t>
  </si>
  <si>
    <t>Test Date</t>
  </si>
  <si>
    <t>Notes / Issue</t>
  </si>
  <si>
    <t>Evidence Link</t>
  </si>
  <si>
    <t>T01</t>
  </si>
  <si>
    <t>API health check</t>
  </si>
  <si>
    <t>Open /api/health in browser.</t>
  </si>
  <si>
    <t>status ok; required services configured.</t>
  </si>
  <si>
    <t>High</t>
  </si>
  <si>
    <t>T02</t>
  </si>
  <si>
    <t>Dashboard login/logout</t>
  </si>
  <si>
    <t>Open dashboard, login, logout, try wrong password.</t>
  </si>
  <si>
    <t>Login works; wrong password rejected; logout returns to login.</t>
  </si>
  <si>
    <t>T03</t>
  </si>
  <si>
    <t>Live Config badges</t>
  </si>
  <si>
    <t>Open Stats tab and review all config badges.</t>
  </si>
  <si>
    <t>LiveKit, Google API, Supabase, outbound trunk, Gemini, S3/R2 show configured.</t>
  </si>
  <si>
    <t>T04</t>
  </si>
  <si>
    <t>Dashboard charts and counters</t>
  </si>
  <si>
    <t>Check total calls, booked count, call chart, average duration chart.</t>
  </si>
  <si>
    <t>Stats load without errors and reflect calls.</t>
  </si>
  <si>
    <t>Medium</t>
  </si>
  <si>
    <t>T05</t>
  </si>
  <si>
    <t>Single call test</t>
  </si>
  <si>
    <t>Single Call tab: call your mobile with business/service details.</t>
  </si>
  <si>
    <t>Phone rings; AI speaks; log and recording saved.</t>
  </si>
  <si>
    <t>T06</t>
  </si>
  <si>
    <t>Batch call test</t>
  </si>
  <si>
    <t>Batch Call tab: test 2-3 numbers.</t>
  </si>
  <si>
    <t>Batch starts; each number processed safely; no duplicate crash.</t>
  </si>
  <si>
    <t>T07</t>
  </si>
  <si>
    <t>Campaign creation and start</t>
  </si>
  <si>
    <t>Create test campaign with 2 numbers, start it.</t>
  </si>
  <si>
    <t>Campaign created and calls begin; statuses update.</t>
  </si>
  <si>
    <t>T08</t>
  </si>
  <si>
    <t>Campaign stop/pause safety</t>
  </si>
  <si>
    <t>Pause/stop campaign while running if feature exists.</t>
  </si>
  <si>
    <t>Campaign stops safely; no extra unexpected calls.</t>
  </si>
  <si>
    <t>T09</t>
  </si>
  <si>
    <t>Manual lead add</t>
  </si>
  <si>
    <t>CRM tab: add one lead with name, phone, city, source.</t>
  </si>
  <si>
    <t>Lead appears in CRM list and search.</t>
  </si>
  <si>
    <t>T10</t>
  </si>
  <si>
    <t>Upload leads CSV/Excel</t>
  </si>
  <si>
    <t>Upload 3 test leads with phone/name/city/source/budget.</t>
  </si>
  <si>
    <t>Upload succeeds; invalid/duplicate phones handled safely.</t>
  </si>
  <si>
    <t>T11</t>
  </si>
  <si>
    <t>CRM filters</t>
  </si>
  <si>
    <t>Filter by source, city, business name, campaign, CRM status, outcome, due today.</t>
  </si>
  <si>
    <t>Only matching leads show.</t>
  </si>
  <si>
    <t>T12</t>
  </si>
  <si>
    <t>Download filtered leads</t>
  </si>
  <si>
    <t>Click Download Filtered Leads Excel and CSV.</t>
  </si>
  <si>
    <t>Files download and contain only filtered leads.</t>
  </si>
  <si>
    <t>T13</t>
  </si>
  <si>
    <t>Call selected leads</t>
  </si>
  <si>
    <t>Select 1-2 leads and click Start Calling Selected Leads.</t>
  </si>
  <si>
    <t>Only selected leads are called; call log linked.</t>
  </si>
  <si>
    <t>T14</t>
  </si>
  <si>
    <t>Status manager</t>
  </si>
  <si>
    <t>Add/delete test status; mark selected as Hot Lead / Not Interested.</t>
  </si>
  <si>
    <t>Status saves; dropdown and lead update correctly.</t>
  </si>
  <si>
    <t>T15</t>
  </si>
  <si>
    <t>Default/custom prompt save</t>
  </si>
  <si>
    <t>Open AI Prompt tab; save short custom prompt; test a call.</t>
  </si>
  <si>
    <t>Prompt saves and call behavior reflects it.</t>
  </si>
  <si>
    <t>T16</t>
  </si>
  <si>
    <t>Outbound appointment booking</t>
  </si>
  <si>
    <t>During outbound call say: I want appointment tomorrow at 5 PM.</t>
  </si>
  <si>
    <t>Appointment saved with correct date/time and phone.</t>
  </si>
  <si>
    <t>T17</t>
  </si>
  <si>
    <t>Call logs and export</t>
  </si>
  <si>
    <t>Open Call Logs; download /api/export/calls.xlsx and CSV.</t>
  </si>
  <si>
    <t>Logs visible; Call Type column exists; exports open.</t>
  </si>
  <si>
    <t>T18</t>
  </si>
  <si>
    <t>Recording storage status</t>
  </si>
  <si>
    <t>Open recording storage/retention or /api/recordings/storage.</t>
  </si>
  <si>
    <t>Storage usage and recording count load.</t>
  </si>
  <si>
    <t>T19</t>
  </si>
  <si>
    <t>Recording playback/link</t>
  </si>
  <si>
    <t>Check inbound and outbound recording links after calls.</t>
  </si>
  <si>
    <t>Recording link works; metadata saved.</t>
  </si>
  <si>
    <t>T20</t>
  </si>
  <si>
    <t>Inbound health badges</t>
  </si>
  <si>
    <t>Inbound tab: check all health badges.</t>
  </si>
  <si>
    <t>Enabled, trunk, dispatch rule, phone, agent profile, business, transfer are green.</t>
  </si>
  <si>
    <t>T21</t>
  </si>
  <si>
    <t>Inbound settings save</t>
  </si>
  <si>
    <t>Set INBOUND_ENABLED, phone, trunk, dispatch rule, agent, business, greeting; save.</t>
  </si>
  <si>
    <t>Settings save; health updates without error.</t>
  </si>
  <si>
    <t>T22</t>
  </si>
  <si>
    <t>Basic inbound call answer</t>
  </si>
  <si>
    <t>Call +918065480098 and say: I want service details.</t>
  </si>
  <si>
    <t>AI answers with inbound greeting and responds.</t>
  </si>
  <si>
    <t>T23</t>
  </si>
  <si>
    <t>Inbound CRM existing contact</t>
  </si>
  <si>
    <t>Call from a number already in CRM.</t>
  </si>
  <si>
    <t>CRM contact loaded; no duplicate lead created.</t>
  </si>
  <si>
    <t>T24</t>
  </si>
  <si>
    <t>Inbound CRM new contact</t>
  </si>
  <si>
    <t>Call from a new number.</t>
  </si>
  <si>
    <t>CRM creates Unknown Caller with source inbound_call and status New.</t>
  </si>
  <si>
    <t>T25</t>
  </si>
  <si>
    <t>Inbound appointment booking</t>
  </si>
  <si>
    <t>During inbound call say: I want appointment tomorrow 6 PM.</t>
  </si>
  <si>
    <t>Appointment saved; call outcome updated.</t>
  </si>
  <si>
    <t>T26</t>
  </si>
  <si>
    <t>Inbound callback request</t>
  </si>
  <si>
    <t>Say: Please call me back tomorrow morning.</t>
  </si>
  <si>
    <t>Callback/follow-up note saved; outcome callback_requested.</t>
  </si>
  <si>
    <t>T27</t>
  </si>
  <si>
    <t>Inbound human transfer</t>
  </si>
  <si>
    <t>Say: I want to talk to a human.</t>
  </si>
  <si>
    <t>Transfer attempted to DEFAULT_TRANSFER_NUMBER; transferred_to and reason saved.</t>
  </si>
  <si>
    <t>T28</t>
  </si>
  <si>
    <t>Inbound FAQ answer</t>
  </si>
  <si>
    <t>Add FAQ text; call and ask pricing/service question.</t>
  </si>
  <si>
    <t>AI answers from FAQ; no outbound wording.</t>
  </si>
  <si>
    <t>T29</t>
  </si>
  <si>
    <t>Inbound calls table</t>
  </si>
  <si>
    <t>Inbound tab → Refresh Inbound Calls.</t>
  </si>
  <si>
    <t>New inbound call appears with room, caller, outcome, duration, recording.</t>
  </si>
  <si>
    <t>T30</t>
  </si>
  <si>
    <t>Inbound stats update</t>
  </si>
  <si>
    <t>Open /api/inbound/stats after test calls.</t>
  </si>
  <si>
    <t>total_inbound_calls and other counters update.</t>
  </si>
  <si>
    <t>T31</t>
  </si>
  <si>
    <t>Inbound logs validation</t>
  </si>
  <si>
    <t>During inbound call, check Logs/Coolify logs.</t>
  </si>
  <si>
    <t>Shows received job, inbound-agent, room inbound-, caller detected, starting AI session.</t>
  </si>
  <si>
    <t>T32</t>
  </si>
  <si>
    <t>No crash errors</t>
  </si>
  <si>
    <t>Review logs after inbound/outbound calls.</t>
  </si>
  <si>
    <t>No job crashed, AttributeError, 8081 address already in use, or API key errors.</t>
  </si>
  <si>
    <t>T33</t>
  </si>
  <si>
    <t>Restart test app</t>
  </si>
  <si>
    <t>Restart inbound test app in Coolify.</t>
  </si>
  <si>
    <t>App starts; FastAPI healthy; workers on 8081 and 8082.</t>
  </si>
  <si>
    <t>T34</t>
  </si>
  <si>
    <t>Redeploy test app</t>
  </si>
  <si>
    <t>Redeploy inbound test app.</t>
  </si>
  <si>
    <t>Deployment finishes; dashboard/login/workers still work.</t>
  </si>
  <si>
    <t>T35</t>
  </si>
  <si>
    <t>Outbound after inbound</t>
  </si>
  <si>
    <t>After inbound testing, place outbound single call again.</t>
  </si>
  <si>
    <t>Outbound /api/call still works normally.</t>
  </si>
  <si>
    <t>T36</t>
  </si>
  <si>
    <t>Inbound after outbound</t>
  </si>
  <si>
    <t>After outbound test, call inbound number again.</t>
  </si>
  <si>
    <t>Inbound still answers; no worker conflict.</t>
  </si>
  <si>
    <t>T37</t>
  </si>
  <si>
    <t>Final go-live readiness</t>
  </si>
  <si>
    <t>Check all High priority tests are Passed.</t>
  </si>
  <si>
    <t>Ready to merge only if all critical tests pass.</t>
  </si>
  <si>
    <t>Status Options</t>
  </si>
  <si>
    <t>Retest</t>
  </si>
  <si>
    <t>Priority Options</t>
  </si>
  <si>
    <t>Low</t>
  </si>
  <si>
    <t>karuna</t>
  </si>
  <si>
    <t>I have uploaded 2 number , call went both number same time, voice agen responsd to first number but there is a delay in responding  , but 2nd number no answer, log:- [2026-05-11T15:00:36.874090] warning/server: CRM contact upsert skipped
'NoneType' object has no attribute 'data'
[2026-05-11T15:00:05.058454] info/agent: Gemini native-audio: model will greet autonomously from system prompt
[2026-05-11T15:00:04.726170] info/agent: Recording started: egress=EG_HNADrkdFAPo3
[2026-05-11T15:00:01.745403] info/agent: Agent session started
[2026-05-11T14:59:59.151557] info/agent: Call ANSWERED — +919150151775 picked up, starting AI session now
[2026-05-11T14:59:44.335897] info/server: Call dispatched to +918143554346
room=call-918143554346-4518
[2026-05-11T14:59:43.929069] info/agent: Dialing +919150151775 via SIP trunk ST_eM4ttK2yVPo3
[2026-05-11T14:59:43.675077] info/agent: Connected to LiveKit room: call-919150151775-7169
[2026-05-11T14:59:38.810892] info/server: Call dispatched to +919150151775
room=call-919150151775-7169</t>
  </si>
  <si>
    <t xml:space="preserve">when pasuse ans resume ca, call reppeted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</si>
</sst>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1"/>
      <color rgb="FF92400E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Border="1"/>
    <xf numFmtId="0" fontId="3" fillId="0" borderId="0" xfId="0" applyNumberFormat="1" applyFont="1" applyFill="1" applyBorder="1"/>
    <xf numFmtId="9" fontId="0" fillId="0" borderId="0" xfId="0" applyNumberFormat="1" applyFont="1" applyFill="1" applyBorder="1"/>
    <xf numFmtId="0" fontId="0" fillId="0" borderId="0" xfId="0" applyNumberFormat="1" applyFont="1" applyFill="1" applyBorder="1"/>
    <xf numFmtId="0" fontId="1" fillId="2" borderId="0" xfId="0" applyNumberFormat="1" applyFont="1" applyFill="1" applyBorder="1" applyAlignment="1">
      <alignment horizontal="center" vertical="top" wrapText="1"/>
    </xf>
    <xf numFmtId="0" fontId="0" fillId="0" borderId="0" xfId="0" applyNumberFormat="1" applyFont="1" applyFill="1" applyBorder="1" applyAlignment="1">
      <alignment vertical="top" wrapText="1"/>
    </xf>
    <xf numFmtId="164" fontId="0" fillId="0" borderId="0" xfId="0" applyNumberFormat="1" applyFont="1" applyFill="1" applyBorder="1" applyAlignment="1">
      <alignment vertical="top" wrapText="1"/>
    </xf>
    <xf numFmtId="0" fontId="2" fillId="3" borderId="0" xfId="0" applyNumberFormat="1" applyFont="1" applyFill="1" applyBorder="1" applyAlignment="1">
      <alignment horizontal="center" vertical="center"/>
    </xf>
    <xf numFmtId="0" fontId="0" fillId="0" borderId="0" xfId="0"/>
    <xf numFmtId="0" fontId="0" fillId="0" borderId="0" xfId="0" applyNumberFormat="1" applyFont="1" applyFill="1" applyBorder="1" applyAlignment="1">
      <alignment wrapText="1"/>
    </xf>
    <xf numFmtId="0" fontId="1" fillId="2" borderId="0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wrapText="1"/>
    </xf>
  </cellXfs>
  <cellStyles count="1">
    <cellStyle name="Normal" xfId="0" builtinId="0"/>
  </cellStyles>
  <dxfs count="6">
    <dxf>
      <font>
        <color rgb="FF92400E"/>
      </font>
      <fill>
        <patternFill patternType="solid">
          <bgColor rgb="FFFEF3C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color rgb="FF1D4ED8"/>
      </font>
      <fill>
        <patternFill patternType="solid">
          <bgColor rgb="FFDBEAFE"/>
        </patternFill>
      </fill>
    </dxf>
    <dxf>
      <font>
        <color rgb="FF9A3412"/>
      </font>
      <fill>
        <patternFill patternType="solid">
          <bgColor rgb="FFFFEDD5"/>
        </patternFill>
      </fill>
    </dxf>
    <dxf>
      <font>
        <color rgb="FF991B1B"/>
      </font>
      <fill>
        <patternFill patternType="solid">
          <bgColor rgb="FFFEE2E2"/>
        </patternFill>
      </fill>
    </dxf>
    <dxf>
      <font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IN"/>
  <c:roundedCorners val="0"/>
  <c:style val="2"/>
  <c:chart>
    <c:title>
      <c:tx>
        <c:rich>
          <a:bodyPr/>
          <a:lstStyle/>
          <a:p>
            <a:r>
              <a:rPr lang="en-IN"/>
              <a:t>Status Summary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Ref>
              <c:f>Dashboard!$A$4:$A$9</c:f>
              <c:strCache>
                <c:ptCount val="6"/>
                <c:pt idx="0">
                  <c:v>Total Tests</c:v>
                </c:pt>
                <c:pt idx="1">
                  <c:v>Passed</c:v>
                </c:pt>
                <c:pt idx="2">
                  <c:v>Failed</c:v>
                </c:pt>
                <c:pt idx="3">
                  <c:v>Blocked</c:v>
                </c:pt>
                <c:pt idx="4">
                  <c:v>In Progress</c:v>
                </c:pt>
                <c:pt idx="5">
                  <c:v>Not Started</c:v>
                </c:pt>
              </c:strCache>
            </c:strRef>
          </c:cat>
          <c:val>
            <c:numRef>
              <c:f>Dashboard!$B$4:$B$9</c:f>
              <c:numCache>
                <c:formatCode>General</c:formatCode>
                <c:ptCount val="6"/>
                <c:pt idx="0">
                  <c:v>37</c:v>
                </c:pt>
                <c:pt idx="1">
                  <c:v>13</c:v>
                </c:pt>
                <c:pt idx="2">
                  <c:v>7</c:v>
                </c:pt>
                <c:pt idx="3">
                  <c:v>0</c:v>
                </c:pt>
                <c:pt idx="4">
                  <c:v>0</c:v>
                </c:pt>
                <c:pt idx="5">
                  <c:v>17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0927872"/>
        <c:axId val="302607168"/>
      </c:barChart>
      <c:catAx>
        <c:axId val="31092787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majorTickMark val="none"/>
        <c:minorTickMark val="none"/>
        <c:tickLblPos val="nextTo"/>
        <c:crossAx val="302607168"/>
        <c:crosses val="autoZero"/>
        <c:auto val="1"/>
        <c:lblAlgn val="ctr"/>
        <c:lblOffset val="100"/>
        <c:noMultiLvlLbl val="0"/>
      </c:catAx>
      <c:valAx>
        <c:axId val="3026071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31092787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estingChecklistTable" displayName="TestingChecklistTable" ref="A1:K38">
  <tableColumns count="11">
    <tableColumn id="1" name="ID"/>
    <tableColumn id="2" name="Category"/>
    <tableColumn id="3" name="Test Case"/>
    <tableColumn id="4" name="Steps"/>
    <tableColumn id="5" name="Expected Result"/>
    <tableColumn id="6" name="Priority"/>
    <tableColumn id="7" name="Status"/>
    <tableColumn id="8" name="Tester"/>
    <tableColumn id="9" name="Test Date"/>
    <tableColumn id="10" name="Notes / Issue"/>
    <tableColumn id="11" name="Evidence 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Views>
    <sheetView workbookViewId="0">
      <selection activeCell="B30" sqref="B30"/>
    </sheetView>
  </sheetViews>
  <sheetFormatPr defaultRowHeight="14.25"/>
  <cols>
    <col min="1" max="3" width="22" customWidth="1"/>
    <col min="4" max="4" width="15.75" bestFit="1" customWidth="1"/>
    <col min="5" max="5" width="55" customWidth="1"/>
  </cols>
  <sheetData>
    <row r="1" spans="1:8" ht="32.1" customHeight="1">
      <c r="A1" s="8" t="s">
        <v>0</v>
      </c>
      <c r="B1" s="9"/>
      <c r="C1" s="9"/>
      <c r="D1" s="10"/>
      <c r="E1" s="10"/>
      <c r="F1" s="10"/>
      <c r="G1" s="9"/>
      <c r="H1" s="9"/>
    </row>
    <row r="3" spans="1:8" ht="15">
      <c r="A3" s="1" t="s">
        <v>1</v>
      </c>
      <c r="B3" s="1" t="s">
        <v>2</v>
      </c>
      <c r="D3" s="11" t="s">
        <v>3</v>
      </c>
      <c r="E3" s="9"/>
      <c r="F3" s="9"/>
    </row>
    <row r="4" spans="1:8" ht="15">
      <c r="A4" s="2" t="s">
        <v>4</v>
      </c>
      <c r="B4" s="4">
        <f>COUNTA('Testing Checklist'!A2:A38)</f>
        <v>37</v>
      </c>
      <c r="D4" s="2" t="s">
        <v>5</v>
      </c>
      <c r="E4" t="s">
        <v>6</v>
      </c>
    </row>
    <row r="5" spans="1:8" ht="15">
      <c r="A5" s="2" t="s">
        <v>7</v>
      </c>
      <c r="B5" s="4">
        <f>COUNTIF('Testing Checklist'!G2:G38,"Passed")</f>
        <v>13</v>
      </c>
      <c r="D5" s="2" t="s">
        <v>8</v>
      </c>
      <c r="E5" t="s">
        <v>9</v>
      </c>
    </row>
    <row r="6" spans="1:8" ht="15">
      <c r="A6" s="2" t="s">
        <v>10</v>
      </c>
      <c r="B6" s="4">
        <f>COUNTIF('Testing Checklist'!G2:G38,"Failed")</f>
        <v>7</v>
      </c>
      <c r="D6" s="2" t="s">
        <v>11</v>
      </c>
      <c r="E6" t="s">
        <v>12</v>
      </c>
    </row>
    <row r="7" spans="1:8" ht="15">
      <c r="A7" s="2" t="s">
        <v>13</v>
      </c>
      <c r="B7" s="4">
        <f>COUNTIF('Testing Checklist'!G2:G38,"Blocked")</f>
        <v>0</v>
      </c>
      <c r="D7" s="2" t="s">
        <v>14</v>
      </c>
      <c r="E7" t="s">
        <v>15</v>
      </c>
    </row>
    <row r="8" spans="1:8" ht="15">
      <c r="A8" s="2" t="s">
        <v>16</v>
      </c>
      <c r="B8" s="4">
        <f>COUNTIF('Testing Checklist'!G2:G38,"In Progress")</f>
        <v>0</v>
      </c>
      <c r="D8" s="2" t="s">
        <v>17</v>
      </c>
      <c r="E8" t="s">
        <v>18</v>
      </c>
    </row>
    <row r="9" spans="1:8" ht="15">
      <c r="A9" s="2" t="s">
        <v>19</v>
      </c>
      <c r="B9" s="4">
        <f>COUNTIF('Testing Checklist'!G2:G38,"Not Started")</f>
        <v>17</v>
      </c>
    </row>
    <row r="10" spans="1:8" ht="15">
      <c r="A10" s="2" t="s">
        <v>20</v>
      </c>
      <c r="B10" s="3">
        <f>IF(B4=0,0,B5/B4)</f>
        <v>0.35135135135135137</v>
      </c>
    </row>
    <row r="12" spans="1:8" ht="36" customHeight="1">
      <c r="A12" s="12" t="s">
        <v>21</v>
      </c>
      <c r="B12" s="9"/>
      <c r="C12" s="9"/>
      <c r="D12" s="9"/>
      <c r="E12" s="9"/>
      <c r="F12" s="9"/>
      <c r="G12" s="9"/>
      <c r="H12" s="9"/>
    </row>
    <row r="15" spans="1:8" ht="15">
      <c r="A15" s="1" t="s">
        <v>22</v>
      </c>
      <c r="B15" s="1" t="s">
        <v>23</v>
      </c>
      <c r="C15" s="1" t="s">
        <v>7</v>
      </c>
    </row>
    <row r="16" spans="1:8">
      <c r="A16" s="4" t="s">
        <v>24</v>
      </c>
      <c r="B16" s="4">
        <f>COUNTIF('Testing Checklist'!B:B,A16)</f>
        <v>1</v>
      </c>
      <c r="C16" s="4">
        <f>COUNTIFS('Testing Checklist'!B:B,A16,'Testing Checklist'!G:G,"Passed")</f>
        <v>0</v>
      </c>
    </row>
    <row r="17" spans="1:3">
      <c r="A17" s="4" t="s">
        <v>25</v>
      </c>
      <c r="B17" s="4">
        <f>COUNTIF('Testing Checklist'!B:B,A17)</f>
        <v>1</v>
      </c>
      <c r="C17" s="4">
        <f>COUNTIFS('Testing Checklist'!B:B,A17,'Testing Checklist'!G:G,"Passed")</f>
        <v>0</v>
      </c>
    </row>
    <row r="18" spans="1:3">
      <c r="A18" s="4" t="s">
        <v>26</v>
      </c>
      <c r="B18" s="4">
        <f>COUNTIF('Testing Checklist'!B:B,A18)</f>
        <v>2</v>
      </c>
      <c r="C18" s="4">
        <f>COUNTIFS('Testing Checklist'!B:B,A18,'Testing Checklist'!G:G,"Passed")</f>
        <v>2</v>
      </c>
    </row>
    <row r="19" spans="1:3">
      <c r="A19" s="4" t="s">
        <v>27</v>
      </c>
      <c r="B19" s="4">
        <f>COUNTIF('Testing Checklist'!B:B,A19)</f>
        <v>6</v>
      </c>
      <c r="C19" s="4">
        <f>COUNTIFS('Testing Checklist'!B:B,A19,'Testing Checklist'!G:G,"Passed")</f>
        <v>3</v>
      </c>
    </row>
    <row r="20" spans="1:3">
      <c r="A20" s="4" t="s">
        <v>28</v>
      </c>
      <c r="B20" s="4">
        <f>COUNTIF('Testing Checklist'!B:B,A20)</f>
        <v>1</v>
      </c>
      <c r="C20" s="4">
        <f>COUNTIFS('Testing Checklist'!B:B,A20,'Testing Checklist'!G:G,"Passed")</f>
        <v>1</v>
      </c>
    </row>
    <row r="21" spans="1:3">
      <c r="A21" s="4" t="s">
        <v>29</v>
      </c>
      <c r="B21" s="4">
        <f>COUNTIF('Testing Checklist'!B:B,A21)</f>
        <v>2</v>
      </c>
      <c r="C21" s="4">
        <f>COUNTIFS('Testing Checklist'!B:B,A21,'Testing Checklist'!G:G,"Passed")</f>
        <v>0</v>
      </c>
    </row>
    <row r="22" spans="1:3">
      <c r="A22" s="4" t="s">
        <v>30</v>
      </c>
      <c r="B22" s="4">
        <f>COUNTIF('Testing Checklist'!B:B,A22)</f>
        <v>1</v>
      </c>
      <c r="C22" s="4">
        <f>COUNTIFS('Testing Checklist'!B:B,A22,'Testing Checklist'!G:G,"Passed")</f>
        <v>0</v>
      </c>
    </row>
    <row r="23" spans="1:3">
      <c r="A23" s="4" t="s">
        <v>31</v>
      </c>
      <c r="B23" s="4">
        <f>COUNTIF('Testing Checklist'!B:B,A23)</f>
        <v>11</v>
      </c>
      <c r="C23" s="4">
        <f>COUNTIFS('Testing Checklist'!B:B,A23,'Testing Checklist'!G:G,"Passed")</f>
        <v>3</v>
      </c>
    </row>
    <row r="24" spans="1:3">
      <c r="A24" s="4" t="s">
        <v>32</v>
      </c>
      <c r="B24" s="4">
        <f>COUNTIF('Testing Checklist'!B:B,A24)</f>
        <v>2</v>
      </c>
      <c r="C24" s="4">
        <f>COUNTIFS('Testing Checklist'!B:B,A24,'Testing Checklist'!G:G,"Passed")</f>
        <v>0</v>
      </c>
    </row>
    <row r="25" spans="1:3">
      <c r="A25" s="4" t="s">
        <v>33</v>
      </c>
      <c r="B25" s="4">
        <f>COUNTIF('Testing Checklist'!B:B,A25)</f>
        <v>2</v>
      </c>
      <c r="C25" s="4">
        <f>COUNTIFS('Testing Checklist'!B:B,A25,'Testing Checklist'!G:G,"Passed")</f>
        <v>1</v>
      </c>
    </row>
    <row r="26" spans="1:3">
      <c r="A26" s="4" t="s">
        <v>34</v>
      </c>
      <c r="B26" s="4">
        <f>COUNTIF('Testing Checklist'!B:B,A26)</f>
        <v>2</v>
      </c>
      <c r="C26" s="4">
        <f>COUNTIFS('Testing Checklist'!B:B,A26,'Testing Checklist'!G:G,"Passed")</f>
        <v>1</v>
      </c>
    </row>
    <row r="27" spans="1:3">
      <c r="A27" s="4" t="s">
        <v>35</v>
      </c>
      <c r="B27" s="4">
        <f>COUNTIF('Testing Checklist'!B:B,A27)</f>
        <v>2</v>
      </c>
      <c r="C27" s="4">
        <f>COUNTIFS('Testing Checklist'!B:B,A27,'Testing Checklist'!G:G,"Passed")</f>
        <v>0</v>
      </c>
    </row>
    <row r="28" spans="1:3">
      <c r="A28" s="4" t="s">
        <v>36</v>
      </c>
      <c r="B28" s="4">
        <f>COUNTIF('Testing Checklist'!B:B,A28)</f>
        <v>2</v>
      </c>
      <c r="C28" s="4">
        <f>COUNTIFS('Testing Checklist'!B:B,A28,'Testing Checklist'!G:G,"Passed")</f>
        <v>0</v>
      </c>
    </row>
    <row r="29" spans="1:3">
      <c r="A29" s="4" t="s">
        <v>37</v>
      </c>
      <c r="B29" s="4">
        <f>COUNTIF('Testing Checklist'!B:B,A29)</f>
        <v>2</v>
      </c>
      <c r="C29" s="4">
        <f>COUNTIFS('Testing Checklist'!B:B,A29,'Testing Checklist'!G:G,"Passed")</f>
        <v>2</v>
      </c>
    </row>
  </sheetData>
  <mergeCells count="3">
    <mergeCell ref="A1:H1"/>
    <mergeCell ref="D3:F3"/>
    <mergeCell ref="A12:H1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8"/>
  <sheetViews>
    <sheetView tabSelected="1" topLeftCell="A6" zoomScale="87" zoomScaleNormal="87" workbookViewId="0">
      <selection activeCell="J7" sqref="J7"/>
    </sheetView>
  </sheetViews>
  <sheetFormatPr defaultRowHeight="14.25"/>
  <cols>
    <col min="1" max="1" width="8" customWidth="1"/>
    <col min="2" max="2" width="18" customWidth="1"/>
    <col min="3" max="3" width="28" customWidth="1"/>
    <col min="4" max="5" width="45" customWidth="1"/>
    <col min="6" max="6" width="12" customWidth="1"/>
    <col min="7" max="7" width="15" customWidth="1"/>
    <col min="8" max="8" width="16" customWidth="1"/>
    <col min="9" max="9" width="14" customWidth="1"/>
    <col min="10" max="10" width="35" customWidth="1"/>
    <col min="11" max="11" width="28" customWidth="1"/>
  </cols>
  <sheetData>
    <row r="1" spans="1:11" ht="27.95" customHeight="1">
      <c r="A1" s="5" t="s">
        <v>38</v>
      </c>
      <c r="B1" s="5" t="s">
        <v>22</v>
      </c>
      <c r="C1" s="5" t="s">
        <v>39</v>
      </c>
      <c r="D1" s="5" t="s">
        <v>40</v>
      </c>
      <c r="E1" s="5" t="s">
        <v>41</v>
      </c>
      <c r="F1" s="5" t="s">
        <v>42</v>
      </c>
      <c r="G1" s="5" t="s">
        <v>43</v>
      </c>
      <c r="H1" s="5" t="s">
        <v>44</v>
      </c>
      <c r="I1" s="5" t="s">
        <v>45</v>
      </c>
      <c r="J1" s="5" t="s">
        <v>46</v>
      </c>
      <c r="K1" s="5" t="s">
        <v>47</v>
      </c>
    </row>
    <row r="2" spans="1:11" ht="48" customHeight="1">
      <c r="A2" s="6" t="s">
        <v>48</v>
      </c>
      <c r="B2" s="6" t="s">
        <v>26</v>
      </c>
      <c r="C2" s="6" t="s">
        <v>49</v>
      </c>
      <c r="D2" s="6" t="s">
        <v>50</v>
      </c>
      <c r="E2" s="6" t="s">
        <v>51</v>
      </c>
      <c r="F2" s="6" t="s">
        <v>52</v>
      </c>
      <c r="G2" s="6" t="s">
        <v>7</v>
      </c>
      <c r="H2" s="6" t="s">
        <v>202</v>
      </c>
      <c r="I2" s="7">
        <v>46153</v>
      </c>
      <c r="J2" s="6"/>
      <c r="K2" s="6"/>
    </row>
    <row r="3" spans="1:11" ht="48" customHeight="1">
      <c r="A3" s="6" t="s">
        <v>53</v>
      </c>
      <c r="B3" s="6" t="s">
        <v>26</v>
      </c>
      <c r="C3" s="6" t="s">
        <v>54</v>
      </c>
      <c r="D3" s="6" t="s">
        <v>55</v>
      </c>
      <c r="E3" s="6" t="s">
        <v>56</v>
      </c>
      <c r="F3" s="6" t="s">
        <v>52</v>
      </c>
      <c r="G3" s="6" t="s">
        <v>7</v>
      </c>
      <c r="H3" s="6" t="s">
        <v>202</v>
      </c>
      <c r="I3" s="7">
        <v>46153</v>
      </c>
      <c r="J3" s="6"/>
      <c r="K3" s="6"/>
    </row>
    <row r="4" spans="1:11" ht="48" customHeight="1">
      <c r="A4" s="6" t="s">
        <v>57</v>
      </c>
      <c r="B4" s="6" t="s">
        <v>37</v>
      </c>
      <c r="C4" s="6" t="s">
        <v>58</v>
      </c>
      <c r="D4" s="6" t="s">
        <v>59</v>
      </c>
      <c r="E4" s="6" t="s">
        <v>60</v>
      </c>
      <c r="F4" s="6" t="s">
        <v>52</v>
      </c>
      <c r="G4" s="6" t="s">
        <v>7</v>
      </c>
      <c r="H4" s="6" t="s">
        <v>202</v>
      </c>
      <c r="I4" s="7">
        <v>46153</v>
      </c>
      <c r="J4" s="6"/>
      <c r="K4" s="6"/>
    </row>
    <row r="5" spans="1:11" ht="48" customHeight="1">
      <c r="A5" s="6" t="s">
        <v>61</v>
      </c>
      <c r="B5" s="6" t="s">
        <v>37</v>
      </c>
      <c r="C5" s="6" t="s">
        <v>62</v>
      </c>
      <c r="D5" s="6" t="s">
        <v>63</v>
      </c>
      <c r="E5" s="6" t="s">
        <v>64</v>
      </c>
      <c r="F5" s="6" t="s">
        <v>65</v>
      </c>
      <c r="G5" s="6" t="s">
        <v>7</v>
      </c>
      <c r="H5" s="6" t="s">
        <v>202</v>
      </c>
      <c r="I5" s="7">
        <v>46153</v>
      </c>
      <c r="J5" s="6"/>
      <c r="K5" s="6"/>
    </row>
    <row r="6" spans="1:11" ht="48" customHeight="1">
      <c r="A6" s="6" t="s">
        <v>66</v>
      </c>
      <c r="B6" s="6" t="s">
        <v>33</v>
      </c>
      <c r="C6" s="6" t="s">
        <v>67</v>
      </c>
      <c r="D6" s="6" t="s">
        <v>68</v>
      </c>
      <c r="E6" s="6" t="s">
        <v>69</v>
      </c>
      <c r="F6" s="6" t="s">
        <v>52</v>
      </c>
      <c r="G6" s="6" t="s">
        <v>7</v>
      </c>
      <c r="H6" s="6" t="s">
        <v>202</v>
      </c>
      <c r="I6" s="7">
        <v>46153</v>
      </c>
      <c r="J6" s="6"/>
      <c r="K6" s="6"/>
    </row>
    <row r="7" spans="1:11" ht="48" customHeight="1">
      <c r="A7" s="6" t="s">
        <v>70</v>
      </c>
      <c r="B7" s="6" t="s">
        <v>33</v>
      </c>
      <c r="C7" s="6" t="s">
        <v>71</v>
      </c>
      <c r="D7" s="6" t="s">
        <v>72</v>
      </c>
      <c r="E7" s="6" t="s">
        <v>73</v>
      </c>
      <c r="F7" s="6" t="s">
        <v>52</v>
      </c>
      <c r="G7" s="6" t="s">
        <v>10</v>
      </c>
      <c r="H7" s="6" t="s">
        <v>202</v>
      </c>
      <c r="I7" s="7">
        <v>46153</v>
      </c>
      <c r="J7" s="6" t="s">
        <v>203</v>
      </c>
      <c r="K7" s="6"/>
    </row>
    <row r="8" spans="1:11" ht="48" customHeight="1">
      <c r="A8" s="6" t="s">
        <v>74</v>
      </c>
      <c r="B8" s="6" t="s">
        <v>29</v>
      </c>
      <c r="C8" s="6" t="s">
        <v>75</v>
      </c>
      <c r="D8" s="6" t="s">
        <v>76</v>
      </c>
      <c r="E8" s="6" t="s">
        <v>77</v>
      </c>
      <c r="F8" s="6" t="s">
        <v>52</v>
      </c>
      <c r="G8" s="6" t="s">
        <v>10</v>
      </c>
      <c r="H8" s="6" t="s">
        <v>202</v>
      </c>
      <c r="I8" s="7">
        <v>46153</v>
      </c>
      <c r="J8" s="6"/>
      <c r="K8" s="6"/>
    </row>
    <row r="9" spans="1:11" ht="48" customHeight="1">
      <c r="A9" s="6" t="s">
        <v>78</v>
      </c>
      <c r="B9" s="6" t="s">
        <v>29</v>
      </c>
      <c r="C9" s="6" t="s">
        <v>79</v>
      </c>
      <c r="D9" s="6" t="s">
        <v>80</v>
      </c>
      <c r="E9" s="6" t="s">
        <v>81</v>
      </c>
      <c r="F9" s="6" t="s">
        <v>65</v>
      </c>
      <c r="G9" s="6" t="s">
        <v>10</v>
      </c>
      <c r="H9" s="6" t="s">
        <v>202</v>
      </c>
      <c r="I9" s="7">
        <v>46153</v>
      </c>
      <c r="J9" s="6" t="s">
        <v>204</v>
      </c>
      <c r="K9" s="6"/>
    </row>
    <row r="10" spans="1:11" ht="48" customHeight="1">
      <c r="A10" s="6" t="s">
        <v>82</v>
      </c>
      <c r="B10" s="6" t="s">
        <v>27</v>
      </c>
      <c r="C10" s="6" t="s">
        <v>83</v>
      </c>
      <c r="D10" s="6" t="s">
        <v>84</v>
      </c>
      <c r="E10" s="6" t="s">
        <v>85</v>
      </c>
      <c r="F10" s="6" t="s">
        <v>52</v>
      </c>
      <c r="G10" s="6" t="s">
        <v>10</v>
      </c>
      <c r="H10" s="6" t="s">
        <v>202</v>
      </c>
      <c r="I10" s="7">
        <v>46153</v>
      </c>
      <c r="J10" s="6"/>
      <c r="K10" s="6"/>
    </row>
    <row r="11" spans="1:11" ht="48" customHeight="1">
      <c r="A11" s="6" t="s">
        <v>86</v>
      </c>
      <c r="B11" s="6" t="s">
        <v>27</v>
      </c>
      <c r="C11" s="6" t="s">
        <v>87</v>
      </c>
      <c r="D11" s="6" t="s">
        <v>88</v>
      </c>
      <c r="E11" s="6" t="s">
        <v>89</v>
      </c>
      <c r="F11" s="6" t="s">
        <v>52</v>
      </c>
      <c r="G11" s="6" t="s">
        <v>10</v>
      </c>
      <c r="H11" s="6" t="s">
        <v>202</v>
      </c>
      <c r="I11" s="7">
        <v>46153</v>
      </c>
      <c r="J11" s="6"/>
      <c r="K11" s="6"/>
    </row>
    <row r="12" spans="1:11" ht="48" customHeight="1">
      <c r="A12" s="6" t="s">
        <v>90</v>
      </c>
      <c r="B12" s="6" t="s">
        <v>27</v>
      </c>
      <c r="C12" s="6" t="s">
        <v>91</v>
      </c>
      <c r="D12" s="6" t="s">
        <v>92</v>
      </c>
      <c r="E12" s="6" t="s">
        <v>93</v>
      </c>
      <c r="F12" s="6" t="s">
        <v>65</v>
      </c>
      <c r="G12" s="6" t="s">
        <v>7</v>
      </c>
      <c r="H12" s="6" t="s">
        <v>202</v>
      </c>
      <c r="I12" s="7">
        <v>46153</v>
      </c>
      <c r="J12" s="6"/>
      <c r="K12" s="6"/>
    </row>
    <row r="13" spans="1:11" ht="48" customHeight="1">
      <c r="A13" s="6" t="s">
        <v>94</v>
      </c>
      <c r="B13" s="6" t="s">
        <v>27</v>
      </c>
      <c r="C13" s="6" t="s">
        <v>95</v>
      </c>
      <c r="D13" s="6" t="s">
        <v>96</v>
      </c>
      <c r="E13" s="6" t="s">
        <v>97</v>
      </c>
      <c r="F13" s="6" t="s">
        <v>65</v>
      </c>
      <c r="G13" s="6" t="s">
        <v>7</v>
      </c>
      <c r="H13" s="6" t="s">
        <v>202</v>
      </c>
      <c r="I13" s="7">
        <v>46153</v>
      </c>
      <c r="J13" s="6"/>
      <c r="K13" s="6"/>
    </row>
    <row r="14" spans="1:11" ht="48" customHeight="1">
      <c r="A14" s="6" t="s">
        <v>98</v>
      </c>
      <c r="B14" s="6" t="s">
        <v>27</v>
      </c>
      <c r="C14" s="6" t="s">
        <v>99</v>
      </c>
      <c r="D14" s="6" t="s">
        <v>100</v>
      </c>
      <c r="E14" s="6" t="s">
        <v>101</v>
      </c>
      <c r="F14" s="6" t="s">
        <v>52</v>
      </c>
      <c r="G14" s="6" t="s">
        <v>19</v>
      </c>
      <c r="H14" s="6"/>
      <c r="I14" s="7"/>
      <c r="J14" s="6"/>
      <c r="K14" s="6"/>
    </row>
    <row r="15" spans="1:11" ht="48" customHeight="1">
      <c r="A15" s="6" t="s">
        <v>102</v>
      </c>
      <c r="B15" s="6" t="s">
        <v>27</v>
      </c>
      <c r="C15" s="6" t="s">
        <v>103</v>
      </c>
      <c r="D15" s="6" t="s">
        <v>104</v>
      </c>
      <c r="E15" s="6" t="s">
        <v>105</v>
      </c>
      <c r="F15" s="6" t="s">
        <v>65</v>
      </c>
      <c r="G15" s="6" t="s">
        <v>7</v>
      </c>
      <c r="H15" s="6" t="s">
        <v>202</v>
      </c>
      <c r="I15" s="7">
        <v>46153</v>
      </c>
      <c r="J15" s="6"/>
      <c r="K15" s="6"/>
    </row>
    <row r="16" spans="1:11" ht="48" customHeight="1">
      <c r="A16" s="6" t="s">
        <v>106</v>
      </c>
      <c r="B16" s="6" t="s">
        <v>24</v>
      </c>
      <c r="C16" s="6" t="s">
        <v>107</v>
      </c>
      <c r="D16" s="6" t="s">
        <v>108</v>
      </c>
      <c r="E16" s="6" t="s">
        <v>109</v>
      </c>
      <c r="F16" s="6" t="s">
        <v>65</v>
      </c>
      <c r="G16" s="6" t="s">
        <v>19</v>
      </c>
      <c r="H16" s="6"/>
      <c r="I16" s="7"/>
      <c r="J16" s="6"/>
      <c r="K16" s="6"/>
    </row>
    <row r="17" spans="1:11" ht="48" customHeight="1">
      <c r="A17" s="6" t="s">
        <v>110</v>
      </c>
      <c r="B17" s="6" t="s">
        <v>25</v>
      </c>
      <c r="C17" s="6" t="s">
        <v>111</v>
      </c>
      <c r="D17" s="6" t="s">
        <v>112</v>
      </c>
      <c r="E17" s="6" t="s">
        <v>113</v>
      </c>
      <c r="F17" s="6" t="s">
        <v>52</v>
      </c>
      <c r="G17" s="6" t="s">
        <v>10</v>
      </c>
      <c r="H17" s="6" t="s">
        <v>202</v>
      </c>
      <c r="I17" s="7">
        <v>46153</v>
      </c>
      <c r="J17" s="6"/>
      <c r="K17" s="6"/>
    </row>
    <row r="18" spans="1:11" ht="48" customHeight="1">
      <c r="A18" s="6" t="s">
        <v>114</v>
      </c>
      <c r="B18" s="6" t="s">
        <v>28</v>
      </c>
      <c r="C18" s="6" t="s">
        <v>115</v>
      </c>
      <c r="D18" s="6" t="s">
        <v>116</v>
      </c>
      <c r="E18" s="6" t="s">
        <v>117</v>
      </c>
      <c r="F18" s="6" t="s">
        <v>52</v>
      </c>
      <c r="G18" s="6" t="s">
        <v>7</v>
      </c>
      <c r="H18" s="6" t="s">
        <v>202</v>
      </c>
      <c r="I18" s="7">
        <v>46153</v>
      </c>
      <c r="J18" s="6"/>
      <c r="K18" s="6"/>
    </row>
    <row r="19" spans="1:11" ht="48" customHeight="1">
      <c r="A19" s="6" t="s">
        <v>118</v>
      </c>
      <c r="B19" s="6" t="s">
        <v>34</v>
      </c>
      <c r="C19" s="6" t="s">
        <v>119</v>
      </c>
      <c r="D19" s="6" t="s">
        <v>120</v>
      </c>
      <c r="E19" s="6" t="s">
        <v>121</v>
      </c>
      <c r="F19" s="6" t="s">
        <v>65</v>
      </c>
      <c r="G19" s="6" t="s">
        <v>7</v>
      </c>
      <c r="H19" s="6" t="s">
        <v>202</v>
      </c>
      <c r="I19" s="7">
        <v>46153</v>
      </c>
      <c r="J19" s="6"/>
      <c r="K19" s="6"/>
    </row>
    <row r="20" spans="1:11" ht="48" customHeight="1">
      <c r="A20" s="6" t="s">
        <v>122</v>
      </c>
      <c r="B20" s="6" t="s">
        <v>34</v>
      </c>
      <c r="C20" s="6" t="s">
        <v>123</v>
      </c>
      <c r="D20" s="6" t="s">
        <v>124</v>
      </c>
      <c r="E20" s="6" t="s">
        <v>125</v>
      </c>
      <c r="F20" s="6" t="s">
        <v>52</v>
      </c>
      <c r="G20" s="6" t="s">
        <v>10</v>
      </c>
      <c r="H20" s="6" t="s">
        <v>202</v>
      </c>
      <c r="I20" s="7">
        <v>46153</v>
      </c>
      <c r="J20" s="6"/>
      <c r="K20" s="6"/>
    </row>
    <row r="21" spans="1:11" ht="48" customHeight="1">
      <c r="A21" s="6" t="s">
        <v>126</v>
      </c>
      <c r="B21" s="6" t="s">
        <v>31</v>
      </c>
      <c r="C21" s="6" t="s">
        <v>127</v>
      </c>
      <c r="D21" s="6" t="s">
        <v>128</v>
      </c>
      <c r="E21" s="6" t="s">
        <v>129</v>
      </c>
      <c r="F21" s="6" t="s">
        <v>52</v>
      </c>
      <c r="G21" s="6" t="s">
        <v>7</v>
      </c>
      <c r="H21" s="6"/>
      <c r="I21" s="7"/>
      <c r="J21" s="6"/>
      <c r="K21" s="6"/>
    </row>
    <row r="22" spans="1:11" ht="48" customHeight="1">
      <c r="A22" s="6" t="s">
        <v>130</v>
      </c>
      <c r="B22" s="6" t="s">
        <v>31</v>
      </c>
      <c r="C22" s="6" t="s">
        <v>131</v>
      </c>
      <c r="D22" s="6" t="s">
        <v>132</v>
      </c>
      <c r="E22" s="6" t="s">
        <v>133</v>
      </c>
      <c r="F22" s="6" t="s">
        <v>52</v>
      </c>
      <c r="G22" s="6" t="s">
        <v>7</v>
      </c>
      <c r="H22" s="6"/>
      <c r="I22" s="7"/>
      <c r="J22" s="6"/>
      <c r="K22" s="6"/>
    </row>
    <row r="23" spans="1:11" ht="48" customHeight="1">
      <c r="A23" s="6" t="s">
        <v>134</v>
      </c>
      <c r="B23" s="6" t="s">
        <v>31</v>
      </c>
      <c r="C23" s="6" t="s">
        <v>135</v>
      </c>
      <c r="D23" s="6" t="s">
        <v>136</v>
      </c>
      <c r="E23" s="6" t="s">
        <v>137</v>
      </c>
      <c r="F23" s="6" t="s">
        <v>52</v>
      </c>
      <c r="G23" s="6" t="s">
        <v>7</v>
      </c>
      <c r="H23" s="6"/>
      <c r="I23" s="7"/>
      <c r="J23" s="6"/>
      <c r="K23" s="6"/>
    </row>
    <row r="24" spans="1:11" ht="48" customHeight="1">
      <c r="A24" s="6" t="s">
        <v>138</v>
      </c>
      <c r="B24" s="6" t="s">
        <v>31</v>
      </c>
      <c r="C24" s="6" t="s">
        <v>139</v>
      </c>
      <c r="D24" s="6" t="s">
        <v>140</v>
      </c>
      <c r="E24" s="6" t="s">
        <v>141</v>
      </c>
      <c r="F24" s="6" t="s">
        <v>52</v>
      </c>
      <c r="G24" s="6" t="s">
        <v>19</v>
      </c>
      <c r="H24" s="6"/>
      <c r="I24" s="7"/>
      <c r="J24" s="6"/>
      <c r="K24" s="6"/>
    </row>
    <row r="25" spans="1:11" ht="48" customHeight="1">
      <c r="A25" s="6" t="s">
        <v>142</v>
      </c>
      <c r="B25" s="6" t="s">
        <v>31</v>
      </c>
      <c r="C25" s="6" t="s">
        <v>143</v>
      </c>
      <c r="D25" s="6" t="s">
        <v>144</v>
      </c>
      <c r="E25" s="6" t="s">
        <v>145</v>
      </c>
      <c r="F25" s="6" t="s">
        <v>52</v>
      </c>
      <c r="G25" s="6" t="s">
        <v>19</v>
      </c>
      <c r="H25" s="6"/>
      <c r="I25" s="7"/>
      <c r="J25" s="6"/>
      <c r="K25" s="6"/>
    </row>
    <row r="26" spans="1:11" ht="48" customHeight="1">
      <c r="A26" s="6" t="s">
        <v>146</v>
      </c>
      <c r="B26" s="6" t="s">
        <v>31</v>
      </c>
      <c r="C26" s="6" t="s">
        <v>147</v>
      </c>
      <c r="D26" s="6" t="s">
        <v>148</v>
      </c>
      <c r="E26" s="6" t="s">
        <v>149</v>
      </c>
      <c r="F26" s="6" t="s">
        <v>52</v>
      </c>
      <c r="G26" s="6" t="s">
        <v>19</v>
      </c>
      <c r="H26" s="6"/>
      <c r="I26" s="7"/>
      <c r="J26" s="6"/>
      <c r="K26" s="6"/>
    </row>
    <row r="27" spans="1:11" ht="48" customHeight="1">
      <c r="A27" s="6" t="s">
        <v>150</v>
      </c>
      <c r="B27" s="6" t="s">
        <v>31</v>
      </c>
      <c r="C27" s="6" t="s">
        <v>151</v>
      </c>
      <c r="D27" s="6" t="s">
        <v>152</v>
      </c>
      <c r="E27" s="6" t="s">
        <v>153</v>
      </c>
      <c r="F27" s="6" t="s">
        <v>65</v>
      </c>
      <c r="G27" s="6" t="s">
        <v>19</v>
      </c>
      <c r="H27" s="6"/>
      <c r="I27" s="7"/>
      <c r="J27" s="6"/>
      <c r="K27" s="6"/>
    </row>
    <row r="28" spans="1:11" ht="48" customHeight="1">
      <c r="A28" s="6" t="s">
        <v>154</v>
      </c>
      <c r="B28" s="6" t="s">
        <v>31</v>
      </c>
      <c r="C28" s="6" t="s">
        <v>155</v>
      </c>
      <c r="D28" s="6" t="s">
        <v>156</v>
      </c>
      <c r="E28" s="6" t="s">
        <v>157</v>
      </c>
      <c r="F28" s="6" t="s">
        <v>52</v>
      </c>
      <c r="G28" s="6" t="s">
        <v>19</v>
      </c>
      <c r="H28" s="6"/>
      <c r="I28" s="7"/>
      <c r="J28" s="6"/>
      <c r="K28" s="6"/>
    </row>
    <row r="29" spans="1:11" ht="48" customHeight="1">
      <c r="A29" s="6" t="s">
        <v>158</v>
      </c>
      <c r="B29" s="6" t="s">
        <v>31</v>
      </c>
      <c r="C29" s="6" t="s">
        <v>159</v>
      </c>
      <c r="D29" s="6" t="s">
        <v>160</v>
      </c>
      <c r="E29" s="6" t="s">
        <v>161</v>
      </c>
      <c r="F29" s="6" t="s">
        <v>65</v>
      </c>
      <c r="G29" s="6" t="s">
        <v>19</v>
      </c>
      <c r="H29" s="6"/>
      <c r="I29" s="7"/>
      <c r="J29" s="6"/>
      <c r="K29" s="6"/>
    </row>
    <row r="30" spans="1:11" ht="48" customHeight="1">
      <c r="A30" s="6" t="s">
        <v>162</v>
      </c>
      <c r="B30" s="6" t="s">
        <v>31</v>
      </c>
      <c r="C30" s="6" t="s">
        <v>163</v>
      </c>
      <c r="D30" s="6" t="s">
        <v>164</v>
      </c>
      <c r="E30" s="6" t="s">
        <v>165</v>
      </c>
      <c r="F30" s="6" t="s">
        <v>52</v>
      </c>
      <c r="G30" s="6" t="s">
        <v>19</v>
      </c>
      <c r="H30" s="6"/>
      <c r="I30" s="7"/>
      <c r="J30" s="6"/>
      <c r="K30" s="6"/>
    </row>
    <row r="31" spans="1:11" ht="48" customHeight="1">
      <c r="A31" s="6" t="s">
        <v>166</v>
      </c>
      <c r="B31" s="6" t="s">
        <v>31</v>
      </c>
      <c r="C31" s="6" t="s">
        <v>167</v>
      </c>
      <c r="D31" s="6" t="s">
        <v>168</v>
      </c>
      <c r="E31" s="6" t="s">
        <v>169</v>
      </c>
      <c r="F31" s="6" t="s">
        <v>65</v>
      </c>
      <c r="G31" s="6" t="s">
        <v>19</v>
      </c>
      <c r="H31" s="6"/>
      <c r="I31" s="7"/>
      <c r="J31" s="6"/>
      <c r="K31" s="6"/>
    </row>
    <row r="32" spans="1:11" ht="48" customHeight="1">
      <c r="A32" s="6" t="s">
        <v>170</v>
      </c>
      <c r="B32" s="6" t="s">
        <v>32</v>
      </c>
      <c r="C32" s="6" t="s">
        <v>171</v>
      </c>
      <c r="D32" s="6" t="s">
        <v>172</v>
      </c>
      <c r="E32" s="6" t="s">
        <v>173</v>
      </c>
      <c r="F32" s="6" t="s">
        <v>52</v>
      </c>
      <c r="G32" s="6" t="s">
        <v>19</v>
      </c>
      <c r="H32" s="6"/>
      <c r="I32" s="7"/>
      <c r="J32" s="6"/>
      <c r="K32" s="6"/>
    </row>
    <row r="33" spans="1:11" ht="48" customHeight="1">
      <c r="A33" s="6" t="s">
        <v>174</v>
      </c>
      <c r="B33" s="6" t="s">
        <v>32</v>
      </c>
      <c r="C33" s="6" t="s">
        <v>175</v>
      </c>
      <c r="D33" s="6" t="s">
        <v>176</v>
      </c>
      <c r="E33" s="6" t="s">
        <v>177</v>
      </c>
      <c r="F33" s="6" t="s">
        <v>52</v>
      </c>
      <c r="G33" s="6" t="s">
        <v>19</v>
      </c>
      <c r="H33" s="6"/>
      <c r="I33" s="7"/>
      <c r="J33" s="6"/>
      <c r="K33" s="6"/>
    </row>
    <row r="34" spans="1:11" ht="48" customHeight="1">
      <c r="A34" s="6" t="s">
        <v>178</v>
      </c>
      <c r="B34" s="6" t="s">
        <v>36</v>
      </c>
      <c r="C34" s="6" t="s">
        <v>179</v>
      </c>
      <c r="D34" s="6" t="s">
        <v>180</v>
      </c>
      <c r="E34" s="6" t="s">
        <v>181</v>
      </c>
      <c r="F34" s="6" t="s">
        <v>52</v>
      </c>
      <c r="G34" s="6" t="s">
        <v>19</v>
      </c>
      <c r="H34" s="6"/>
      <c r="I34" s="7"/>
      <c r="J34" s="6"/>
      <c r="K34" s="6"/>
    </row>
    <row r="35" spans="1:11" ht="48" customHeight="1">
      <c r="A35" s="6" t="s">
        <v>182</v>
      </c>
      <c r="B35" s="6" t="s">
        <v>36</v>
      </c>
      <c r="C35" s="6" t="s">
        <v>183</v>
      </c>
      <c r="D35" s="6" t="s">
        <v>184</v>
      </c>
      <c r="E35" s="6" t="s">
        <v>185</v>
      </c>
      <c r="F35" s="6" t="s">
        <v>52</v>
      </c>
      <c r="G35" s="6" t="s">
        <v>19</v>
      </c>
      <c r="H35" s="6"/>
      <c r="I35" s="7"/>
      <c r="J35" s="6"/>
      <c r="K35" s="6"/>
    </row>
    <row r="36" spans="1:11" ht="48" customHeight="1">
      <c r="A36" s="6" t="s">
        <v>186</v>
      </c>
      <c r="B36" s="6" t="s">
        <v>35</v>
      </c>
      <c r="C36" s="6" t="s">
        <v>187</v>
      </c>
      <c r="D36" s="6" t="s">
        <v>188</v>
      </c>
      <c r="E36" s="6" t="s">
        <v>189</v>
      </c>
      <c r="F36" s="6" t="s">
        <v>52</v>
      </c>
      <c r="G36" s="6" t="s">
        <v>19</v>
      </c>
      <c r="H36" s="6"/>
      <c r="I36" s="7"/>
      <c r="J36" s="6"/>
      <c r="K36" s="6"/>
    </row>
    <row r="37" spans="1:11" ht="48" customHeight="1">
      <c r="A37" s="6" t="s">
        <v>190</v>
      </c>
      <c r="B37" s="6" t="s">
        <v>35</v>
      </c>
      <c r="C37" s="6" t="s">
        <v>191</v>
      </c>
      <c r="D37" s="6" t="s">
        <v>192</v>
      </c>
      <c r="E37" s="6" t="s">
        <v>193</v>
      </c>
      <c r="F37" s="6" t="s">
        <v>52</v>
      </c>
      <c r="G37" s="6" t="s">
        <v>19</v>
      </c>
      <c r="H37" s="6"/>
      <c r="I37" s="7"/>
      <c r="J37" s="6"/>
      <c r="K37" s="6"/>
    </row>
    <row r="38" spans="1:11" ht="48" customHeight="1">
      <c r="A38" s="6" t="s">
        <v>194</v>
      </c>
      <c r="B38" s="6" t="s">
        <v>30</v>
      </c>
      <c r="C38" s="6" t="s">
        <v>195</v>
      </c>
      <c r="D38" s="6" t="s">
        <v>196</v>
      </c>
      <c r="E38" s="6" t="s">
        <v>197</v>
      </c>
      <c r="F38" s="6" t="s">
        <v>52</v>
      </c>
      <c r="G38" s="6" t="s">
        <v>19</v>
      </c>
      <c r="H38" s="6"/>
      <c r="I38" s="7"/>
      <c r="J38" s="6"/>
      <c r="K38" s="6"/>
    </row>
  </sheetData>
  <conditionalFormatting sqref="G2:G38">
    <cfRule type="expression" dxfId="5" priority="1">
      <formula>G2="Passed"</formula>
    </cfRule>
    <cfRule type="expression" dxfId="4" priority="2">
      <formula>G2="Failed"</formula>
    </cfRule>
    <cfRule type="expression" dxfId="3" priority="3">
      <formula>G2="Blocked"</formula>
    </cfRule>
    <cfRule type="expression" dxfId="2" priority="4">
      <formula>G2="In Progress"</formula>
    </cfRule>
  </conditionalFormatting>
  <conditionalFormatting sqref="F2:F38">
    <cfRule type="expression" dxfId="1" priority="5">
      <formula>F2="High"</formula>
    </cfRule>
    <cfRule type="expression" dxfId="0" priority="6">
      <formula>F2="Medium"</formula>
    </cfRule>
  </conditionalFormatting>
  <dataValidations count="2">
    <dataValidation type="list" sqref="G2:G38">
      <formula1>"Not Started,In Progress,Passed,Failed,Blocked,Retest"</formula1>
    </dataValidation>
    <dataValidation type="list" sqref="F2:F38">
      <formula1>"High,Medium,Low"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Views>
    <sheetView workbookViewId="0"/>
  </sheetViews>
  <sheetFormatPr defaultRowHeight="14.25"/>
  <cols>
    <col min="1" max="1" width="20" customWidth="1"/>
  </cols>
  <sheetData>
    <row r="1" spans="1:1" ht="15">
      <c r="A1" s="1" t="s">
        <v>198</v>
      </c>
    </row>
    <row r="2" spans="1:1">
      <c r="A2" t="s">
        <v>19</v>
      </c>
    </row>
    <row r="3" spans="1:1">
      <c r="A3" t="s">
        <v>16</v>
      </c>
    </row>
    <row r="4" spans="1:1">
      <c r="A4" t="s">
        <v>7</v>
      </c>
    </row>
    <row r="5" spans="1:1">
      <c r="A5" t="s">
        <v>10</v>
      </c>
    </row>
    <row r="6" spans="1:1">
      <c r="A6" t="s">
        <v>13</v>
      </c>
    </row>
    <row r="7" spans="1:1">
      <c r="A7" t="s">
        <v>199</v>
      </c>
    </row>
    <row r="9" spans="1:1" ht="15">
      <c r="A9" s="1" t="s">
        <v>200</v>
      </c>
    </row>
    <row r="10" spans="1:1">
      <c r="A10" t="s">
        <v>52</v>
      </c>
    </row>
    <row r="11" spans="1:1">
      <c r="A11" t="s">
        <v>65</v>
      </c>
    </row>
    <row r="12" spans="1:1">
      <c r="A12" t="s">
        <v>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Dashboard</vt:lpstr>
      <vt:lpstr>Testing Checklist</vt:lpstr>
      <vt:lpstr>Settings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Sniki</cp:lastModifiedBy>
  <dcterms:modified xsi:type="dcterms:W3CDTF">2026-05-11T23:45:36Z</dcterms:modified>
</cp:coreProperties>
</file>